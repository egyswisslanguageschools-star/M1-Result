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نتيجة\Result\M1\"/>
    </mc:Choice>
  </mc:AlternateContent>
  <xr:revisionPtr revIDLastSave="0" documentId="13_ncr:1_{691A465B-99DB-4EAF-82EA-1464593A69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1" l="1"/>
  <c r="I29" i="1"/>
  <c r="I12" i="1"/>
  <c r="I56" i="1"/>
  <c r="I55" i="1"/>
  <c r="I54" i="1"/>
  <c r="I53" i="1"/>
  <c r="I51" i="1"/>
  <c r="I50" i="1"/>
  <c r="I49" i="1"/>
  <c r="I48" i="1"/>
  <c r="I46" i="1"/>
  <c r="I44" i="1"/>
  <c r="I42" i="1"/>
  <c r="I41" i="1"/>
  <c r="I40" i="1"/>
  <c r="I38" i="1"/>
  <c r="I37" i="1"/>
  <c r="I36" i="1"/>
  <c r="I35" i="1"/>
  <c r="I34" i="1"/>
  <c r="I33" i="1"/>
  <c r="I32" i="1"/>
  <c r="I31" i="1"/>
  <c r="I30" i="1"/>
  <c r="I27" i="1"/>
  <c r="I26" i="1"/>
  <c r="I25" i="1"/>
  <c r="I23" i="1"/>
  <c r="I22" i="1"/>
  <c r="I21" i="1"/>
  <c r="I20" i="1"/>
  <c r="I18" i="1"/>
  <c r="I17" i="1"/>
  <c r="I16" i="1"/>
  <c r="I15" i="1"/>
  <c r="I14" i="1"/>
  <c r="I13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<sst xmlns="http://schemas.openxmlformats.org/spreadsheetml/2006/main" count="124" uniqueCount="117">
  <si>
    <t>Column1</t>
  </si>
  <si>
    <t>ARABIC</t>
  </si>
  <si>
    <t>ENGLISH(O.L)</t>
  </si>
  <si>
    <t>SOCIAL STUDIES</t>
  </si>
  <si>
    <t>MATH</t>
  </si>
  <si>
    <t>SCIENCE</t>
  </si>
  <si>
    <t>TOTAL</t>
  </si>
  <si>
    <t>RELIGION</t>
  </si>
  <si>
    <t>ART</t>
  </si>
  <si>
    <t>ICT</t>
  </si>
  <si>
    <t>ENGLISH(A.L)</t>
  </si>
  <si>
    <t>GERMAN</t>
  </si>
  <si>
    <t>FRENCH</t>
  </si>
  <si>
    <t>NAME</t>
  </si>
  <si>
    <t>Ahmed Ibrahim El Komy</t>
  </si>
  <si>
    <t>Ahmed Mohamed Farouk</t>
  </si>
  <si>
    <t>Ahmed Moawad Mohamed</t>
  </si>
  <si>
    <t>Adam Karim Hanafy</t>
  </si>
  <si>
    <t>Asser Alaa Zakaria</t>
  </si>
  <si>
    <t>Eyad Ibrahim El Komy</t>
  </si>
  <si>
    <t>Baraa Walid AbdelAala</t>
  </si>
  <si>
    <t>Hamza Ahmed Reda</t>
  </si>
  <si>
    <t>Ziad Ahmed Masoud</t>
  </si>
  <si>
    <t>Sherif Mahmoud Adel</t>
  </si>
  <si>
    <t>Abdelrahman Attia Fathy</t>
  </si>
  <si>
    <t>Omar Ahmed Fawzy</t>
  </si>
  <si>
    <t>Omar Abdelshafy Ibrahim</t>
  </si>
  <si>
    <t>Omar Mohamed Elsaid</t>
  </si>
  <si>
    <t>Omar Mohamed Kamel</t>
  </si>
  <si>
    <t>Omar Mahmoud Masoud</t>
  </si>
  <si>
    <t>Mazen Ahmed Mohamed</t>
  </si>
  <si>
    <t>Mazen Mohamed Abbas</t>
  </si>
  <si>
    <t>Malek Ahmed Abdelstar</t>
  </si>
  <si>
    <t>Malek Hamdy Saleh</t>
  </si>
  <si>
    <t>Mahmoud Islam Ali</t>
  </si>
  <si>
    <t>Yassin Ahmed Mohamed</t>
  </si>
  <si>
    <t>Yassin Mahmoud Aman</t>
  </si>
  <si>
    <t>Youssef Mohamed Masoud</t>
  </si>
  <si>
    <t>Youssef Mohamed Mostafa</t>
  </si>
  <si>
    <t>Elina Ahmed Samy</t>
  </si>
  <si>
    <t>Ayten Mohamed Ali</t>
  </si>
  <si>
    <t>Aisel Mahmoud Amin</t>
  </si>
  <si>
    <t>Eman Mostafa Fouad</t>
  </si>
  <si>
    <t>Jana Mohamed Thabet</t>
  </si>
  <si>
    <t>Jody Mohamed Abdo</t>
  </si>
  <si>
    <t>Jody Hossam Wahba</t>
  </si>
  <si>
    <t>Joy George Beshara</t>
  </si>
  <si>
    <t>Razan Amr Mahmoud</t>
  </si>
  <si>
    <t>Raghda Reda Atiya</t>
  </si>
  <si>
    <t>Rawan Mohamed Gamal</t>
  </si>
  <si>
    <t>Rital Ahmed Abdelsalam</t>
  </si>
  <si>
    <t>Sara Mohamed Atiya</t>
  </si>
  <si>
    <t>Aliaa Yousry Ibrahim</t>
  </si>
  <si>
    <t>Farah Mohamed Adel</t>
  </si>
  <si>
    <t>Farida Abdelqader Ahmed</t>
  </si>
  <si>
    <t>Farida Mohamed Salah</t>
  </si>
  <si>
    <t>Kenzy Salah Hussein</t>
  </si>
  <si>
    <t>Login Mohamed Ahmed</t>
  </si>
  <si>
    <t>Nada Ashraf Mahmoud</t>
  </si>
  <si>
    <t>Nour Walid Ezzat</t>
  </si>
  <si>
    <t>Column2</t>
  </si>
  <si>
    <t>احمد ابراهيم احمد محمد الكومي</t>
  </si>
  <si>
    <t>احمد محمد فاروق مصطفي علي</t>
  </si>
  <si>
    <t>احمد معوض محمد حسن السيد</t>
  </si>
  <si>
    <t>ادم كريم حنفي خميس عوض</t>
  </si>
  <si>
    <t>اسر علاء زكريا علي احمد الرشيدي</t>
  </si>
  <si>
    <t>اياد ابراهيم احمد محمد الكومي</t>
  </si>
  <si>
    <t>براء وليد عبدالاعلي حسن الهلباوي</t>
  </si>
  <si>
    <t>حمزه احمد رضا عبدالله</t>
  </si>
  <si>
    <t>خالد محمود مرسي علي خلاف</t>
  </si>
  <si>
    <t>زياد احمد مسعود السيد القمحاوي</t>
  </si>
  <si>
    <t>شريف محمود عادل احمد سلامه</t>
  </si>
  <si>
    <t>عبدالرحمن عطيه فتحي علي برجل</t>
  </si>
  <si>
    <t>عمر احمد فوزي محمد مصطفي</t>
  </si>
  <si>
    <t>عمر عبدالشافي ابراهيم حسين</t>
  </si>
  <si>
    <t>عمر محمد السعيد السيد جمعه</t>
  </si>
  <si>
    <t>عمر محمد كامل محمد عطا طه</t>
  </si>
  <si>
    <t>عمر محمود مسعود السيد محمد</t>
  </si>
  <si>
    <t>مازن احمد محمد عبدالنبي السيد</t>
  </si>
  <si>
    <t>مازن محمد عباس علي حسن خاطر</t>
  </si>
  <si>
    <t>مالك احمد عبدالستار فراج محمد</t>
  </si>
  <si>
    <t>مالك حمدي صالح ابراهيم ابوزرد</t>
  </si>
  <si>
    <t>مالك محمد احمد محمد رفاعي</t>
  </si>
  <si>
    <t>محمود اسلام علي محمود البلحي</t>
  </si>
  <si>
    <t>ياسين احمد محمد يوسف عبدالله</t>
  </si>
  <si>
    <t>ياسين محمود امان عبدالله درويش</t>
  </si>
  <si>
    <t>يس اسماعيل عبد السلام عمر</t>
  </si>
  <si>
    <t>يوسف محمد مسعود السيد محمد</t>
  </si>
  <si>
    <t>يوسف محمد مصطفي زكي محمد</t>
  </si>
  <si>
    <t>الينا احمد سامي محمود ابراهيم</t>
  </si>
  <si>
    <t>ايتن محمد علي حسن رفاعي</t>
  </si>
  <si>
    <t>ايسل محمود امين عبدالمطلب</t>
  </si>
  <si>
    <t>ايمان مصطفي فواد عبدالعزيز</t>
  </si>
  <si>
    <t>جنا محمد ثابت عبدالحافظ احمد</t>
  </si>
  <si>
    <t>جودي حسام وهبه مجاهد عبدالعزيز</t>
  </si>
  <si>
    <t>جودي محمد محمد عبده</t>
  </si>
  <si>
    <t>جوى جورج بشاره فرج عوض الله</t>
  </si>
  <si>
    <t>خديجه محمد السيد محمد السيد</t>
  </si>
  <si>
    <t>رزان عمرو محمود محمد عبد العزيز</t>
  </si>
  <si>
    <t>رغدة رضا عطية حلمى محمد عامر</t>
  </si>
  <si>
    <t>روان محمد جمال سعد جمعه محمد</t>
  </si>
  <si>
    <t>رودينا رجب صقر عبدالعاطي جويزي</t>
  </si>
  <si>
    <t>ريتال احمد عبدالسلام محمد حسن</t>
  </si>
  <si>
    <t>زينه عبدالمنعم محمد كمال الدين</t>
  </si>
  <si>
    <t>ساره محمد عطيه احمد ابراهيم</t>
  </si>
  <si>
    <t>سلمي محمود علي محمود عطيه</t>
  </si>
  <si>
    <t>علياء يسري ابراهيم عبدالحسيب</t>
  </si>
  <si>
    <t>فرح محمد عادل سيد احمد</t>
  </si>
  <si>
    <t>فريدة عبدالقادر احمد محمد</t>
  </si>
  <si>
    <t>فريدة محمد صلاح الدين محمد احمد</t>
  </si>
  <si>
    <t>فيروز عبد المنعم محمد كمال الدين</t>
  </si>
  <si>
    <t>كنزي صلاح حسين عبدالحليم هيبة</t>
  </si>
  <si>
    <t>لوجين محمد احمد علي محمد</t>
  </si>
  <si>
    <t>ندا اشرف محمود مبروك هيبه</t>
  </si>
  <si>
    <t>نور وليد عزت امام احمد عيد</t>
  </si>
  <si>
    <t>NATIONAL ID NUMBER</t>
  </si>
  <si>
    <t>برجاء مراجعة الحسابات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</si>
</sst>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31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0" xfId="0" applyFont="1" applyFill="1"/>
    <xf numFmtId="164" fontId="2" fillId="2" borderId="4" xfId="0" applyNumberFormat="1" applyFont="1" applyFill="1" applyBorder="1" applyAlignment="1" applyProtection="1">
      <alignment horizontal="center" vertical="center" shrinkToFit="1" readingOrder="2"/>
      <protection locked="0"/>
    </xf>
    <xf numFmtId="2" fontId="1" fillId="0" borderId="1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2" fillId="0" borderId="5" xfId="1" applyNumberFormat="1" applyFont="1" applyFill="1" applyBorder="1" applyAlignment="1" applyProtection="1">
      <alignment horizontal="right" vertical="center" indent="1" shrinkToFit="1" readingOrder="2"/>
      <protection locked="0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2" fillId="0" borderId="9" xfId="1" applyNumberFormat="1" applyFont="1" applyFill="1" applyBorder="1" applyAlignment="1" applyProtection="1">
      <alignment horizontal="right" vertical="center" indent="1" shrinkToFit="1" readingOrder="2"/>
      <protection locked="0"/>
    </xf>
    <xf numFmtId="165" fontId="6" fillId="0" borderId="6" xfId="0" applyNumberFormat="1" applyFont="1" applyBorder="1" applyAlignment="1">
      <alignment horizontal="center" vertical="center" shrinkToFit="1"/>
    </xf>
    <xf numFmtId="165" fontId="6" fillId="0" borderId="1" xfId="0" applyNumberFormat="1" applyFont="1" applyBorder="1" applyAlignment="1">
      <alignment horizontal="center" vertical="center" shrinkToFit="1"/>
    </xf>
    <xf numFmtId="164" fontId="2" fillId="2" borderId="5" xfId="0" applyNumberFormat="1" applyFont="1" applyFill="1" applyBorder="1" applyAlignment="1" applyProtection="1">
      <alignment horizontal="center" vertical="center" shrinkToFit="1" readingOrder="2"/>
      <protection locked="0"/>
    </xf>
    <xf numFmtId="0" fontId="7" fillId="0" borderId="1" xfId="1" applyFont="1" applyBorder="1" applyAlignment="1">
      <alignment horizontal="right" readingOrder="2"/>
    </xf>
    <xf numFmtId="165" fontId="8" fillId="0" borderId="1" xfId="0" applyNumberFormat="1" applyFont="1" applyBorder="1" applyAlignment="1">
      <alignment horizontal="center" vertical="center" shrinkToFi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1" readingOrder="2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1" readingOrder="2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O56" totalsRowShown="0" headerRowDxfId="16" dataDxfId="15" tableBorderDxfId="14">
  <autoFilter ref="B1:O56" xr:uid="{00000000-0009-0000-0100-000001000000}"/>
  <sortState xmlns:xlrd2="http://schemas.microsoft.com/office/spreadsheetml/2017/richdata2" ref="B2:O56">
    <sortCondition descending="1" ref="I1:I36"/>
  </sortState>
  <tableColumns count="14">
    <tableColumn id="13" xr3:uid="{00000000-0010-0000-0000-00000D000000}" name="Column1" dataDxfId="13" dataCellStyle="Normal 3"/>
    <tableColumn id="1" xr3:uid="{00000000-0010-0000-0000-000001000000}" name="Column2" dataDxfId="12" dataCellStyle="Normal 3"/>
    <tableColumn id="2" xr3:uid="{00000000-0010-0000-0000-000002000000}" name="ARABIC" dataDxfId="11"/>
    <tableColumn id="3" xr3:uid="{00000000-0010-0000-0000-000003000000}" name="ENGLISH(O.L)" dataDxfId="10"/>
    <tableColumn id="4" xr3:uid="{00000000-0010-0000-0000-000004000000}" name="SOCIAL STUDIES" dataDxfId="9"/>
    <tableColumn id="5" xr3:uid="{00000000-0010-0000-0000-000005000000}" name="MATH" dataDxfId="8"/>
    <tableColumn id="6" xr3:uid="{00000000-0010-0000-0000-000006000000}" name="SCIENCE" dataDxfId="7"/>
    <tableColumn id="7" xr3:uid="{00000000-0010-0000-0000-000007000000}" name="TOTAL" dataDxfId="6">
      <calculatedColumnFormula>H2+G2+F2+E2+D2</calculatedColumnFormula>
    </tableColumn>
    <tableColumn id="14" xr3:uid="{00000000-0010-0000-0000-00000E000000}" name="RELIGION" dataDxfId="5"/>
    <tableColumn id="10" xr3:uid="{00000000-0010-0000-0000-00000A000000}" name="ART" dataDxfId="4"/>
    <tableColumn id="11" xr3:uid="{00000000-0010-0000-0000-00000B000000}" name="ICT" dataDxfId="3"/>
    <tableColumn id="8" xr3:uid="{00000000-0010-0000-0000-000008000000}" name="ENGLISH(A.L)" dataDxfId="2"/>
    <tableColumn id="9" xr3:uid="{00000000-0010-0000-0000-000009000000}" name="GERMAN" dataDxfId="1"/>
    <tableColumn id="12" xr3:uid="{00000000-0010-0000-0000-00000C000000}" name="FRENCH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rightToLeft="1" tabSelected="1" zoomScale="115" zoomScaleNormal="115" workbookViewId="0">
      <selection activeCell="B8" sqref="B8"/>
    </sheetView>
  </sheetViews>
  <sheetFormatPr defaultRowHeight="14.4" x14ac:dyDescent="0.3"/>
  <cols>
    <col min="1" max="1" width="26.88671875" customWidth="1"/>
    <col min="2" max="2" width="32.21875" style="1" customWidth="1"/>
    <col min="3" max="3" width="31.6640625" style="1" bestFit="1" customWidth="1"/>
    <col min="4" max="4" width="14.21875" customWidth="1"/>
    <col min="5" max="5" width="11.44140625" customWidth="1"/>
    <col min="6" max="6" width="15.6640625" customWidth="1"/>
    <col min="7" max="10" width="14.21875" customWidth="1"/>
    <col min="11" max="11" width="8.6640625" customWidth="1"/>
    <col min="12" max="12" width="14.21875" customWidth="1"/>
    <col min="13" max="13" width="18.77734375" customWidth="1"/>
    <col min="14" max="14" width="8" customWidth="1"/>
    <col min="15" max="15" width="9.77734375" customWidth="1"/>
  </cols>
  <sheetData>
    <row r="1" spans="1:15" x14ac:dyDescent="0.3">
      <c r="B1" s="1" t="s">
        <v>0</v>
      </c>
      <c r="C1" s="1" t="s">
        <v>60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2" t="s">
        <v>9</v>
      </c>
      <c r="M1" s="2" t="s">
        <v>10</v>
      </c>
      <c r="N1" s="4" t="s">
        <v>11</v>
      </c>
      <c r="O1" s="2" t="s">
        <v>12</v>
      </c>
    </row>
    <row r="2" spans="1:15" ht="17.399999999999999" x14ac:dyDescent="0.3">
      <c r="A2" s="5" t="s">
        <v>115</v>
      </c>
      <c r="B2" s="6" t="s">
        <v>13</v>
      </c>
      <c r="C2" s="28"/>
      <c r="D2" s="7">
        <v>80</v>
      </c>
      <c r="E2" s="7">
        <v>60</v>
      </c>
      <c r="F2" s="7">
        <v>40</v>
      </c>
      <c r="G2" s="7">
        <v>60</v>
      </c>
      <c r="H2" s="7">
        <v>40</v>
      </c>
      <c r="I2" s="8">
        <f t="shared" ref="I2:I33" si="0">H2+G2+F2+E2+D2</f>
        <v>280</v>
      </c>
      <c r="J2" s="7">
        <v>40</v>
      </c>
      <c r="K2" s="7">
        <v>20</v>
      </c>
      <c r="L2" s="7">
        <v>20</v>
      </c>
      <c r="M2" s="7">
        <v>50</v>
      </c>
      <c r="N2" s="9">
        <v>40</v>
      </c>
      <c r="O2" s="7">
        <v>40</v>
      </c>
    </row>
    <row r="3" spans="1:15" ht="18" x14ac:dyDescent="0.3">
      <c r="A3" s="26">
        <v>31307071800497</v>
      </c>
      <c r="B3" s="10" t="s">
        <v>14</v>
      </c>
      <c r="C3" s="29" t="s">
        <v>61</v>
      </c>
      <c r="D3" s="11">
        <v>78.599999999999994</v>
      </c>
      <c r="E3" s="11">
        <v>59.63</v>
      </c>
      <c r="F3" s="11">
        <v>40</v>
      </c>
      <c r="G3" s="11">
        <v>60</v>
      </c>
      <c r="H3" s="11">
        <v>39.4</v>
      </c>
      <c r="I3" s="11">
        <f t="shared" si="0"/>
        <v>277.63</v>
      </c>
      <c r="J3" s="11">
        <v>39</v>
      </c>
      <c r="K3" s="11">
        <v>18</v>
      </c>
      <c r="L3" s="11">
        <v>17.75</v>
      </c>
      <c r="M3" s="11">
        <v>48.9</v>
      </c>
      <c r="N3" s="12">
        <v>38.9</v>
      </c>
      <c r="O3" s="13">
        <v>39.6</v>
      </c>
    </row>
    <row r="4" spans="1:15" ht="18" x14ac:dyDescent="0.3">
      <c r="A4" s="27">
        <v>31307161804513</v>
      </c>
      <c r="B4" s="10" t="s">
        <v>15</v>
      </c>
      <c r="C4" s="29" t="s">
        <v>62</v>
      </c>
      <c r="D4" s="11">
        <v>76.2</v>
      </c>
      <c r="E4" s="11">
        <v>56.1</v>
      </c>
      <c r="F4" s="11">
        <v>38.6</v>
      </c>
      <c r="G4" s="11">
        <v>55.8</v>
      </c>
      <c r="H4" s="11">
        <v>38.799999999999997</v>
      </c>
      <c r="I4" s="11">
        <f t="shared" si="0"/>
        <v>265.5</v>
      </c>
      <c r="J4" s="11">
        <v>36.200000000000003</v>
      </c>
      <c r="K4" s="11">
        <v>16.149999999999999</v>
      </c>
      <c r="L4" s="14">
        <v>17.2</v>
      </c>
      <c r="M4" s="14">
        <v>43.76</v>
      </c>
      <c r="N4" s="12">
        <v>38.5</v>
      </c>
      <c r="O4" s="11">
        <v>33.6</v>
      </c>
    </row>
    <row r="5" spans="1:15" ht="18" x14ac:dyDescent="0.3">
      <c r="A5" s="27">
        <v>31207151803573</v>
      </c>
      <c r="B5" s="10" t="s">
        <v>16</v>
      </c>
      <c r="C5" s="29" t="s">
        <v>63</v>
      </c>
      <c r="D5" s="11">
        <v>75.599999999999994</v>
      </c>
      <c r="E5" s="11">
        <v>58.58</v>
      </c>
      <c r="F5" s="11">
        <v>37.6</v>
      </c>
      <c r="G5" s="11">
        <v>50.18</v>
      </c>
      <c r="H5" s="11">
        <v>38.200000000000003</v>
      </c>
      <c r="I5" s="11">
        <f t="shared" si="0"/>
        <v>260.15999999999997</v>
      </c>
      <c r="J5" s="11">
        <v>35.4</v>
      </c>
      <c r="K5" s="11">
        <v>17.5</v>
      </c>
      <c r="L5" s="11">
        <v>18.5</v>
      </c>
      <c r="M5" s="11">
        <v>48.93</v>
      </c>
      <c r="N5" s="12">
        <v>36.1</v>
      </c>
      <c r="O5" s="11">
        <v>33.700000000000003</v>
      </c>
    </row>
    <row r="6" spans="1:15" ht="18" x14ac:dyDescent="0.3">
      <c r="A6" s="27">
        <v>31307131800777</v>
      </c>
      <c r="B6" s="10" t="s">
        <v>17</v>
      </c>
      <c r="C6" s="29" t="s">
        <v>64</v>
      </c>
      <c r="D6" s="11">
        <v>73.099999999999994</v>
      </c>
      <c r="E6" s="11">
        <v>57.15</v>
      </c>
      <c r="F6" s="11">
        <v>35</v>
      </c>
      <c r="G6" s="11">
        <v>57.3</v>
      </c>
      <c r="H6" s="11">
        <v>36.6</v>
      </c>
      <c r="I6" s="11">
        <f t="shared" si="0"/>
        <v>259.14999999999998</v>
      </c>
      <c r="J6" s="11">
        <v>34.9</v>
      </c>
      <c r="K6" s="11">
        <v>17.25</v>
      </c>
      <c r="L6" s="11">
        <v>17.399999999999999</v>
      </c>
      <c r="M6" s="11">
        <v>43.86</v>
      </c>
      <c r="N6" s="12">
        <v>35.4</v>
      </c>
      <c r="O6" s="11">
        <v>32.9</v>
      </c>
    </row>
    <row r="7" spans="1:15" ht="18" x14ac:dyDescent="0.3">
      <c r="A7" s="27">
        <v>31303131807814</v>
      </c>
      <c r="B7" s="10" t="s">
        <v>18</v>
      </c>
      <c r="C7" s="29" t="s">
        <v>65</v>
      </c>
      <c r="D7" s="11">
        <v>71.400000000000006</v>
      </c>
      <c r="E7" s="11">
        <v>57.23</v>
      </c>
      <c r="F7" s="11">
        <v>36.5</v>
      </c>
      <c r="G7" s="11">
        <v>48.68</v>
      </c>
      <c r="H7" s="11">
        <v>35.9</v>
      </c>
      <c r="I7" s="11">
        <f t="shared" si="0"/>
        <v>249.71</v>
      </c>
      <c r="J7" s="11">
        <v>34</v>
      </c>
      <c r="K7" s="11">
        <v>16.649999999999999</v>
      </c>
      <c r="L7" s="11">
        <v>15.45</v>
      </c>
      <c r="M7" s="11">
        <v>47.96</v>
      </c>
      <c r="N7" s="12">
        <v>34.6</v>
      </c>
      <c r="O7" s="11">
        <v>36.200000000000003</v>
      </c>
    </row>
    <row r="8" spans="1:15" ht="18" x14ac:dyDescent="0.3">
      <c r="A8" s="27">
        <v>31307071800519</v>
      </c>
      <c r="B8" s="10" t="s">
        <v>19</v>
      </c>
      <c r="C8" s="29" t="s">
        <v>66</v>
      </c>
      <c r="D8" s="11">
        <v>79.2</v>
      </c>
      <c r="E8" s="11">
        <v>59.4</v>
      </c>
      <c r="F8" s="11">
        <v>40</v>
      </c>
      <c r="G8" s="11">
        <v>60</v>
      </c>
      <c r="H8" s="11">
        <v>38.4</v>
      </c>
      <c r="I8" s="11">
        <f t="shared" si="0"/>
        <v>277</v>
      </c>
      <c r="J8" s="11">
        <v>36.1</v>
      </c>
      <c r="K8" s="11">
        <v>19.8</v>
      </c>
      <c r="L8" s="11">
        <v>18.149999999999999</v>
      </c>
      <c r="M8" s="11">
        <v>48.2</v>
      </c>
      <c r="N8" s="12">
        <v>36.700000000000003</v>
      </c>
      <c r="O8" s="11">
        <v>39</v>
      </c>
    </row>
    <row r="9" spans="1:15" ht="18" x14ac:dyDescent="0.3">
      <c r="A9" s="27">
        <v>31305171802958</v>
      </c>
      <c r="B9" s="10" t="s">
        <v>20</v>
      </c>
      <c r="C9" s="29" t="s">
        <v>67</v>
      </c>
      <c r="D9" s="11">
        <v>79.400000000000006</v>
      </c>
      <c r="E9" s="11">
        <v>59.48</v>
      </c>
      <c r="F9" s="11">
        <v>39.1</v>
      </c>
      <c r="G9" s="11">
        <v>59.85</v>
      </c>
      <c r="H9" s="11">
        <v>40</v>
      </c>
      <c r="I9" s="11">
        <f t="shared" si="0"/>
        <v>277.83</v>
      </c>
      <c r="J9" s="11">
        <v>38.700000000000003</v>
      </c>
      <c r="K9" s="11">
        <v>19.3</v>
      </c>
      <c r="L9" s="15">
        <v>19.350000000000001</v>
      </c>
      <c r="M9" s="15">
        <v>49.33</v>
      </c>
      <c r="N9" s="12">
        <v>39.4</v>
      </c>
      <c r="O9" s="11">
        <v>40</v>
      </c>
    </row>
    <row r="10" spans="1:15" ht="18" x14ac:dyDescent="0.3">
      <c r="A10" s="27">
        <v>31307080203094</v>
      </c>
      <c r="B10" s="10" t="s">
        <v>21</v>
      </c>
      <c r="C10" s="29" t="s">
        <v>68</v>
      </c>
      <c r="D10" s="11">
        <v>73</v>
      </c>
      <c r="E10" s="11">
        <v>51.15</v>
      </c>
      <c r="F10" s="11">
        <v>33.799999999999997</v>
      </c>
      <c r="G10" s="11">
        <v>44.63</v>
      </c>
      <c r="H10" s="11">
        <v>31.3</v>
      </c>
      <c r="I10" s="11">
        <f t="shared" si="0"/>
        <v>233.88</v>
      </c>
      <c r="J10" s="11">
        <v>37.1</v>
      </c>
      <c r="K10" s="11">
        <v>16.399999999999999</v>
      </c>
      <c r="L10" s="11">
        <v>15.9</v>
      </c>
      <c r="M10" s="11">
        <v>41.96</v>
      </c>
      <c r="N10" s="12">
        <v>33.6</v>
      </c>
      <c r="O10" s="11">
        <v>30.8</v>
      </c>
    </row>
    <row r="11" spans="1:15" ht="18" x14ac:dyDescent="0.3">
      <c r="A11" s="27">
        <v>31211231800793</v>
      </c>
      <c r="B11" s="10" t="s">
        <v>116</v>
      </c>
      <c r="C11" s="29" t="s">
        <v>69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/>
      <c r="O11" s="11"/>
    </row>
    <row r="12" spans="1:15" ht="18" x14ac:dyDescent="0.3">
      <c r="A12" s="27">
        <v>31312051801792</v>
      </c>
      <c r="B12" s="10" t="s">
        <v>22</v>
      </c>
      <c r="C12" s="29" t="s">
        <v>70</v>
      </c>
      <c r="D12" s="11">
        <v>75.5</v>
      </c>
      <c r="E12" s="11">
        <v>56.48</v>
      </c>
      <c r="F12" s="11">
        <v>38</v>
      </c>
      <c r="G12" s="11">
        <v>55.05</v>
      </c>
      <c r="H12" s="11">
        <v>36.1</v>
      </c>
      <c r="I12" s="11">
        <f t="shared" si="0"/>
        <v>261.13</v>
      </c>
      <c r="J12" s="11">
        <v>34.5</v>
      </c>
      <c r="K12" s="11">
        <v>16.100000000000001</v>
      </c>
      <c r="L12" s="11">
        <v>19.100000000000001</v>
      </c>
      <c r="M12" s="11">
        <v>46.09</v>
      </c>
      <c r="N12" s="12">
        <v>38.1</v>
      </c>
      <c r="O12" s="11">
        <v>37.799999999999997</v>
      </c>
    </row>
    <row r="13" spans="1:15" ht="18" x14ac:dyDescent="0.3">
      <c r="A13" s="27">
        <v>31310201800797</v>
      </c>
      <c r="B13" s="10" t="s">
        <v>23</v>
      </c>
      <c r="C13" s="29" t="s">
        <v>71</v>
      </c>
      <c r="D13" s="11">
        <v>68.7</v>
      </c>
      <c r="E13" s="11">
        <v>53.85</v>
      </c>
      <c r="F13" s="11">
        <v>32.4</v>
      </c>
      <c r="G13" s="11">
        <v>41.7</v>
      </c>
      <c r="H13" s="11">
        <v>30.2</v>
      </c>
      <c r="I13" s="11">
        <f t="shared" si="0"/>
        <v>226.85000000000002</v>
      </c>
      <c r="J13" s="11">
        <v>34</v>
      </c>
      <c r="K13" s="11">
        <v>16.399999999999999</v>
      </c>
      <c r="L13" s="11">
        <v>15.6</v>
      </c>
      <c r="M13" s="11">
        <v>42</v>
      </c>
      <c r="N13" s="12">
        <v>36.700000000000003</v>
      </c>
      <c r="O13" s="11">
        <v>37.9</v>
      </c>
    </row>
    <row r="14" spans="1:15" ht="18" x14ac:dyDescent="0.3">
      <c r="A14" s="27">
        <v>31306111804532</v>
      </c>
      <c r="B14" s="10" t="s">
        <v>24</v>
      </c>
      <c r="C14" s="29" t="s">
        <v>72</v>
      </c>
      <c r="D14" s="7">
        <v>80</v>
      </c>
      <c r="E14" s="7">
        <v>59.85</v>
      </c>
      <c r="F14" s="7">
        <v>39.9</v>
      </c>
      <c r="G14" s="7">
        <v>60</v>
      </c>
      <c r="H14" s="7">
        <v>39.9</v>
      </c>
      <c r="I14" s="8">
        <f t="shared" si="0"/>
        <v>279.64999999999998</v>
      </c>
      <c r="J14" s="7">
        <v>39.299999999999997</v>
      </c>
      <c r="K14" s="7">
        <v>18</v>
      </c>
      <c r="L14" s="7">
        <v>20</v>
      </c>
      <c r="M14" s="7">
        <v>49.81</v>
      </c>
      <c r="N14" s="9">
        <v>39.700000000000003</v>
      </c>
      <c r="O14" s="7">
        <v>40</v>
      </c>
    </row>
    <row r="15" spans="1:15" ht="18" x14ac:dyDescent="0.3">
      <c r="A15" s="27">
        <v>31306181805897</v>
      </c>
      <c r="B15" s="10" t="s">
        <v>25</v>
      </c>
      <c r="C15" s="29" t="s">
        <v>73</v>
      </c>
      <c r="D15" s="7">
        <v>75.400000000000006</v>
      </c>
      <c r="E15" s="7">
        <v>55.88</v>
      </c>
      <c r="F15" s="7">
        <v>39.1</v>
      </c>
      <c r="G15" s="7">
        <v>56.63</v>
      </c>
      <c r="H15" s="7">
        <v>38.9</v>
      </c>
      <c r="I15" s="8">
        <f t="shared" si="0"/>
        <v>265.90999999999997</v>
      </c>
      <c r="J15" s="7">
        <v>37.200000000000003</v>
      </c>
      <c r="K15" s="7">
        <v>18.5</v>
      </c>
      <c r="L15" s="7">
        <v>17.600000000000001</v>
      </c>
      <c r="M15" s="7">
        <v>45</v>
      </c>
      <c r="N15" s="9">
        <v>33.1</v>
      </c>
      <c r="O15" s="7">
        <v>38.4</v>
      </c>
    </row>
    <row r="16" spans="1:15" ht="18" x14ac:dyDescent="0.3">
      <c r="A16" s="27">
        <v>31207031805998</v>
      </c>
      <c r="B16" s="10" t="s">
        <v>26</v>
      </c>
      <c r="C16" s="29" t="s">
        <v>74</v>
      </c>
      <c r="D16" s="16">
        <v>73</v>
      </c>
      <c r="E16" s="16">
        <v>52.5</v>
      </c>
      <c r="F16" s="16">
        <v>35</v>
      </c>
      <c r="G16" s="16">
        <v>43.89</v>
      </c>
      <c r="H16" s="16">
        <v>31</v>
      </c>
      <c r="I16" s="16">
        <f t="shared" si="0"/>
        <v>235.39</v>
      </c>
      <c r="J16" s="16">
        <v>35.5</v>
      </c>
      <c r="K16" s="16">
        <v>15.25</v>
      </c>
      <c r="L16" s="17">
        <v>14.85</v>
      </c>
      <c r="M16" s="17">
        <v>42.26</v>
      </c>
      <c r="N16" s="18">
        <v>37.6</v>
      </c>
      <c r="O16" s="16">
        <v>34</v>
      </c>
    </row>
    <row r="17" spans="1:15" ht="18" x14ac:dyDescent="0.3">
      <c r="A17" s="27">
        <v>31212011800713</v>
      </c>
      <c r="B17" s="10" t="s">
        <v>27</v>
      </c>
      <c r="C17" s="29" t="s">
        <v>75</v>
      </c>
      <c r="D17" s="16">
        <v>79.8</v>
      </c>
      <c r="E17" s="16">
        <v>60</v>
      </c>
      <c r="F17" s="16">
        <v>40</v>
      </c>
      <c r="G17" s="16">
        <v>60</v>
      </c>
      <c r="H17" s="16">
        <v>40</v>
      </c>
      <c r="I17" s="16">
        <f t="shared" si="0"/>
        <v>279.8</v>
      </c>
      <c r="J17" s="16">
        <v>39.4</v>
      </c>
      <c r="K17" s="16">
        <v>20</v>
      </c>
      <c r="L17" s="19">
        <v>20</v>
      </c>
      <c r="M17" s="19">
        <v>49.73</v>
      </c>
      <c r="N17" s="18">
        <v>40</v>
      </c>
      <c r="O17" s="16">
        <v>39.6</v>
      </c>
    </row>
    <row r="18" spans="1:15" ht="18" x14ac:dyDescent="0.3">
      <c r="A18" s="27">
        <v>31305281800276</v>
      </c>
      <c r="B18" s="10" t="s">
        <v>28</v>
      </c>
      <c r="C18" s="29" t="s">
        <v>76</v>
      </c>
      <c r="D18" s="16">
        <v>78.400000000000006</v>
      </c>
      <c r="E18" s="16">
        <v>59.18</v>
      </c>
      <c r="F18" s="16">
        <v>39</v>
      </c>
      <c r="G18" s="16">
        <v>55.58</v>
      </c>
      <c r="H18" s="16">
        <v>39.5</v>
      </c>
      <c r="I18" s="16">
        <f t="shared" si="0"/>
        <v>271.65999999999997</v>
      </c>
      <c r="J18" s="16">
        <v>38.9</v>
      </c>
      <c r="K18" s="16">
        <v>18.2</v>
      </c>
      <c r="L18" s="19">
        <v>19.350000000000001</v>
      </c>
      <c r="M18" s="19">
        <v>48.36</v>
      </c>
      <c r="N18" s="18">
        <v>37.700000000000003</v>
      </c>
      <c r="O18" s="16">
        <v>38.4</v>
      </c>
    </row>
    <row r="19" spans="1:15" ht="18" x14ac:dyDescent="0.3">
      <c r="A19" s="27">
        <v>31308031800334</v>
      </c>
      <c r="B19" s="10" t="s">
        <v>29</v>
      </c>
      <c r="C19" s="29" t="s">
        <v>77</v>
      </c>
      <c r="D19" s="7">
        <v>78.099999999999994</v>
      </c>
      <c r="E19" s="7">
        <v>58.28</v>
      </c>
      <c r="F19" s="7">
        <v>38.4</v>
      </c>
      <c r="G19" s="7">
        <v>57.6</v>
      </c>
      <c r="H19" s="7">
        <v>38.700000000000003</v>
      </c>
      <c r="I19" s="8">
        <f t="shared" si="0"/>
        <v>271.08000000000004</v>
      </c>
      <c r="J19" s="7">
        <v>38.200000000000003</v>
      </c>
      <c r="K19" s="7">
        <v>18.100000000000001</v>
      </c>
      <c r="L19" s="20">
        <v>19.2</v>
      </c>
      <c r="M19" s="20">
        <v>46.1</v>
      </c>
      <c r="N19" s="9">
        <v>38.299999999999997</v>
      </c>
      <c r="O19" s="7">
        <v>37.4</v>
      </c>
    </row>
    <row r="20" spans="1:15" ht="18" x14ac:dyDescent="0.3">
      <c r="A20" s="27">
        <v>31308081806112</v>
      </c>
      <c r="B20" s="10" t="s">
        <v>30</v>
      </c>
      <c r="C20" s="29" t="s">
        <v>78</v>
      </c>
      <c r="D20" s="16">
        <v>76.599999999999994</v>
      </c>
      <c r="E20" s="16">
        <v>54.3</v>
      </c>
      <c r="F20" s="16">
        <v>36.200000000000003</v>
      </c>
      <c r="G20" s="16">
        <v>57</v>
      </c>
      <c r="H20" s="16">
        <v>36.4</v>
      </c>
      <c r="I20" s="16">
        <f t="shared" si="0"/>
        <v>260.5</v>
      </c>
      <c r="J20" s="16">
        <v>36.6</v>
      </c>
      <c r="K20" s="16">
        <v>14.65</v>
      </c>
      <c r="L20" s="16">
        <v>16.55</v>
      </c>
      <c r="M20" s="16">
        <v>39.83</v>
      </c>
      <c r="N20" s="18">
        <v>30.2</v>
      </c>
      <c r="O20" s="16">
        <v>36.5</v>
      </c>
    </row>
    <row r="21" spans="1:15" ht="18" x14ac:dyDescent="0.3">
      <c r="A21" s="27">
        <v>31307261802771</v>
      </c>
      <c r="B21" s="10" t="s">
        <v>31</v>
      </c>
      <c r="C21" s="29" t="s">
        <v>79</v>
      </c>
      <c r="D21" s="7">
        <v>75.400000000000006</v>
      </c>
      <c r="E21" s="7">
        <v>55.43</v>
      </c>
      <c r="F21" s="7">
        <v>36</v>
      </c>
      <c r="G21" s="7">
        <v>58.13</v>
      </c>
      <c r="H21" s="7">
        <v>33</v>
      </c>
      <c r="I21" s="8">
        <f t="shared" si="0"/>
        <v>257.96000000000004</v>
      </c>
      <c r="J21" s="7">
        <v>37.200000000000003</v>
      </c>
      <c r="K21" s="7">
        <v>16.45</v>
      </c>
      <c r="L21" s="7">
        <v>17.600000000000001</v>
      </c>
      <c r="M21" s="7">
        <v>43.53</v>
      </c>
      <c r="N21" s="9">
        <v>37.5</v>
      </c>
      <c r="O21" s="7">
        <v>37</v>
      </c>
    </row>
    <row r="22" spans="1:15" ht="18" x14ac:dyDescent="0.3">
      <c r="A22" s="27">
        <v>31311041803634</v>
      </c>
      <c r="B22" s="10" t="s">
        <v>32</v>
      </c>
      <c r="C22" s="29" t="s">
        <v>80</v>
      </c>
      <c r="D22" s="7">
        <v>76.3</v>
      </c>
      <c r="E22" s="7">
        <v>59.33</v>
      </c>
      <c r="F22" s="7">
        <v>38</v>
      </c>
      <c r="G22" s="7">
        <v>58.13</v>
      </c>
      <c r="H22" s="7">
        <v>39.1</v>
      </c>
      <c r="I22" s="8">
        <f t="shared" si="0"/>
        <v>270.86</v>
      </c>
      <c r="J22" s="7">
        <v>35.6</v>
      </c>
      <c r="K22" s="7">
        <v>15.85</v>
      </c>
      <c r="L22" s="20">
        <v>17.850000000000001</v>
      </c>
      <c r="M22" s="20">
        <v>47.79</v>
      </c>
      <c r="N22" s="9">
        <v>32.1</v>
      </c>
      <c r="O22" s="7">
        <v>35.700000000000003</v>
      </c>
    </row>
    <row r="23" spans="1:15" ht="18" x14ac:dyDescent="0.3">
      <c r="A23" s="27">
        <v>31312101800458</v>
      </c>
      <c r="B23" s="10" t="s">
        <v>33</v>
      </c>
      <c r="C23" s="29" t="s">
        <v>81</v>
      </c>
      <c r="D23" s="16">
        <v>64.099999999999994</v>
      </c>
      <c r="E23" s="16">
        <v>46.35</v>
      </c>
      <c r="F23" s="16">
        <v>34.200000000000003</v>
      </c>
      <c r="G23" s="16">
        <v>41.25</v>
      </c>
      <c r="H23" s="16">
        <v>29.9</v>
      </c>
      <c r="I23" s="16">
        <f t="shared" si="0"/>
        <v>215.8</v>
      </c>
      <c r="J23" s="16">
        <v>33.200000000000003</v>
      </c>
      <c r="K23" s="16">
        <v>16.55</v>
      </c>
      <c r="L23" s="17">
        <v>16.7</v>
      </c>
      <c r="M23" s="17">
        <v>38.81</v>
      </c>
      <c r="N23" s="18">
        <v>30.8</v>
      </c>
      <c r="O23" s="16">
        <v>34.6</v>
      </c>
    </row>
    <row r="24" spans="1:15" ht="18" x14ac:dyDescent="0.3">
      <c r="A24" s="27">
        <v>31307221802116</v>
      </c>
      <c r="B24" s="10" t="s">
        <v>116</v>
      </c>
      <c r="C24" s="29" t="s">
        <v>82</v>
      </c>
      <c r="D24" s="16"/>
      <c r="E24" s="16"/>
      <c r="F24" s="16"/>
      <c r="G24" s="16"/>
      <c r="H24" s="16"/>
      <c r="I24" s="16"/>
      <c r="J24" s="16"/>
      <c r="K24" s="16"/>
      <c r="L24" s="17"/>
      <c r="M24" s="17"/>
      <c r="N24" s="18"/>
      <c r="O24" s="21"/>
    </row>
    <row r="25" spans="1:15" ht="18" x14ac:dyDescent="0.3">
      <c r="A25" s="27">
        <v>31211160200153</v>
      </c>
      <c r="B25" s="10" t="s">
        <v>34</v>
      </c>
      <c r="C25" s="29" t="s">
        <v>83</v>
      </c>
      <c r="D25" s="16">
        <v>66.7</v>
      </c>
      <c r="E25" s="16">
        <v>57.45</v>
      </c>
      <c r="F25" s="16">
        <v>31.6</v>
      </c>
      <c r="G25" s="16">
        <v>43.13</v>
      </c>
      <c r="H25" s="16">
        <v>29.9</v>
      </c>
      <c r="I25" s="16">
        <f t="shared" si="0"/>
        <v>228.77999999999997</v>
      </c>
      <c r="J25" s="16">
        <v>33.799999999999997</v>
      </c>
      <c r="K25" s="16">
        <v>14.85</v>
      </c>
      <c r="L25" s="16">
        <v>15.6</v>
      </c>
      <c r="M25" s="16">
        <v>47.84</v>
      </c>
      <c r="N25" s="22">
        <v>37</v>
      </c>
      <c r="O25" s="16">
        <v>37</v>
      </c>
    </row>
    <row r="26" spans="1:15" ht="18" x14ac:dyDescent="0.3">
      <c r="A26" s="27">
        <v>31212121810412</v>
      </c>
      <c r="B26" s="10" t="s">
        <v>35</v>
      </c>
      <c r="C26" s="29" t="s">
        <v>84</v>
      </c>
      <c r="D26" s="7">
        <v>76.599999999999994</v>
      </c>
      <c r="E26" s="7">
        <v>58.95</v>
      </c>
      <c r="F26" s="7">
        <v>38.1</v>
      </c>
      <c r="G26" s="7">
        <v>52.13</v>
      </c>
      <c r="H26" s="7">
        <v>37.9</v>
      </c>
      <c r="I26" s="8">
        <f t="shared" si="0"/>
        <v>263.67999999999995</v>
      </c>
      <c r="J26" s="7">
        <v>37</v>
      </c>
      <c r="K26" s="7">
        <v>17.55</v>
      </c>
      <c r="L26" s="7">
        <v>19.3</v>
      </c>
      <c r="M26" s="7">
        <v>47.53</v>
      </c>
      <c r="N26" s="23">
        <v>38.4</v>
      </c>
      <c r="O26" s="7">
        <v>37.299999999999997</v>
      </c>
    </row>
    <row r="27" spans="1:15" ht="18" x14ac:dyDescent="0.3">
      <c r="A27" s="27">
        <v>31306300200117</v>
      </c>
      <c r="B27" s="10" t="s">
        <v>36</v>
      </c>
      <c r="C27" s="29" t="s">
        <v>85</v>
      </c>
      <c r="D27" s="16">
        <v>65.400000000000006</v>
      </c>
      <c r="E27" s="16">
        <v>46.5</v>
      </c>
      <c r="F27" s="16">
        <v>31.2</v>
      </c>
      <c r="G27" s="16">
        <v>43.35</v>
      </c>
      <c r="H27" s="16">
        <v>26.7</v>
      </c>
      <c r="I27" s="16">
        <f t="shared" si="0"/>
        <v>213.15</v>
      </c>
      <c r="J27" s="16">
        <v>32.6</v>
      </c>
      <c r="K27" s="16">
        <v>15.65</v>
      </c>
      <c r="L27" s="16">
        <v>15.35</v>
      </c>
      <c r="M27" s="16">
        <v>34.93</v>
      </c>
      <c r="N27" s="22">
        <v>27.8</v>
      </c>
      <c r="O27" s="16">
        <v>29.6</v>
      </c>
    </row>
    <row r="28" spans="1:15" ht="18" x14ac:dyDescent="0.3">
      <c r="A28" s="27">
        <v>31211071804215</v>
      </c>
      <c r="B28" s="10" t="s">
        <v>116</v>
      </c>
      <c r="C28" s="29" t="s">
        <v>86</v>
      </c>
      <c r="D28" s="7"/>
      <c r="E28" s="7"/>
      <c r="F28" s="7"/>
      <c r="G28" s="7"/>
      <c r="H28" s="7"/>
      <c r="I28" s="8"/>
      <c r="J28" s="7"/>
      <c r="K28" s="7"/>
      <c r="L28" s="24"/>
      <c r="M28" s="24"/>
      <c r="N28" s="23"/>
      <c r="O28" s="7"/>
    </row>
    <row r="29" spans="1:15" ht="18" x14ac:dyDescent="0.3">
      <c r="A29" s="27">
        <v>31310101802636</v>
      </c>
      <c r="B29" s="10" t="s">
        <v>37</v>
      </c>
      <c r="C29" s="29" t="s">
        <v>87</v>
      </c>
      <c r="D29" s="7">
        <v>80</v>
      </c>
      <c r="E29" s="7">
        <v>59.33</v>
      </c>
      <c r="F29" s="7">
        <v>39.4</v>
      </c>
      <c r="G29" s="7">
        <v>60</v>
      </c>
      <c r="H29" s="7">
        <v>39.299999999999997</v>
      </c>
      <c r="I29" s="8">
        <f t="shared" si="0"/>
        <v>278.02999999999997</v>
      </c>
      <c r="J29" s="7">
        <v>38</v>
      </c>
      <c r="K29" s="7">
        <v>17.05</v>
      </c>
      <c r="L29" s="7">
        <v>19.55</v>
      </c>
      <c r="M29" s="7">
        <v>49.18</v>
      </c>
      <c r="N29" s="9">
        <v>39.799999999999997</v>
      </c>
      <c r="O29" s="7">
        <v>39.700000000000003</v>
      </c>
    </row>
    <row r="30" spans="1:15" ht="18" x14ac:dyDescent="0.3">
      <c r="A30" s="27">
        <v>31307141800376</v>
      </c>
      <c r="B30" s="10" t="s">
        <v>38</v>
      </c>
      <c r="C30" s="29" t="s">
        <v>88</v>
      </c>
      <c r="D30" s="16">
        <v>74.400000000000006</v>
      </c>
      <c r="E30" s="16">
        <v>55.5</v>
      </c>
      <c r="F30" s="16">
        <v>36</v>
      </c>
      <c r="G30" s="16">
        <v>52.8</v>
      </c>
      <c r="H30" s="16">
        <v>36.299999999999997</v>
      </c>
      <c r="I30" s="16">
        <f t="shared" si="0"/>
        <v>255</v>
      </c>
      <c r="J30" s="16">
        <v>38</v>
      </c>
      <c r="K30" s="16">
        <v>16.399999999999999</v>
      </c>
      <c r="L30" s="16">
        <v>17.350000000000001</v>
      </c>
      <c r="M30" s="16">
        <v>44.84</v>
      </c>
      <c r="N30" s="18">
        <v>36.299999999999997</v>
      </c>
      <c r="O30" s="16">
        <v>35.700000000000003</v>
      </c>
    </row>
    <row r="31" spans="1:15" ht="18" x14ac:dyDescent="0.3">
      <c r="A31" s="27">
        <v>31306191803345</v>
      </c>
      <c r="B31" s="10" t="s">
        <v>39</v>
      </c>
      <c r="C31" s="29" t="s">
        <v>89</v>
      </c>
      <c r="D31" s="7">
        <v>78.400000000000006</v>
      </c>
      <c r="E31" s="7">
        <v>58.5</v>
      </c>
      <c r="F31" s="7">
        <v>39.200000000000003</v>
      </c>
      <c r="G31" s="7">
        <v>59.25</v>
      </c>
      <c r="H31" s="7">
        <v>39.6</v>
      </c>
      <c r="I31" s="8">
        <f t="shared" si="0"/>
        <v>274.95000000000005</v>
      </c>
      <c r="J31" s="7">
        <v>37.700000000000003</v>
      </c>
      <c r="K31" s="7">
        <v>18.600000000000001</v>
      </c>
      <c r="L31" s="7">
        <v>19.5</v>
      </c>
      <c r="M31" s="7">
        <v>49.2</v>
      </c>
      <c r="N31" s="9">
        <v>37.5</v>
      </c>
      <c r="O31" s="7">
        <v>39.200000000000003</v>
      </c>
    </row>
    <row r="32" spans="1:15" ht="18" x14ac:dyDescent="0.3">
      <c r="A32" s="27">
        <v>31308041800081</v>
      </c>
      <c r="B32" s="10" t="s">
        <v>40</v>
      </c>
      <c r="C32" s="29" t="s">
        <v>90</v>
      </c>
      <c r="D32" s="16">
        <v>73.8</v>
      </c>
      <c r="E32" s="16">
        <v>58.28</v>
      </c>
      <c r="F32" s="16">
        <v>37.299999999999997</v>
      </c>
      <c r="G32" s="16">
        <v>42.98</v>
      </c>
      <c r="H32" s="16">
        <v>34.4</v>
      </c>
      <c r="I32" s="16">
        <f t="shared" si="0"/>
        <v>246.76</v>
      </c>
      <c r="J32" s="16">
        <v>35</v>
      </c>
      <c r="K32" s="16">
        <v>19.399999999999999</v>
      </c>
      <c r="L32" s="16">
        <v>16.399999999999999</v>
      </c>
      <c r="M32" s="16">
        <v>46.66</v>
      </c>
      <c r="N32" s="18">
        <v>36.979999999999997</v>
      </c>
      <c r="O32" s="16">
        <v>34.4</v>
      </c>
    </row>
    <row r="33" spans="1:15" ht="18" x14ac:dyDescent="0.3">
      <c r="A33" s="27">
        <v>31304041801325</v>
      </c>
      <c r="B33" s="10" t="s">
        <v>41</v>
      </c>
      <c r="C33" s="29" t="s">
        <v>91</v>
      </c>
      <c r="D33" s="7">
        <v>77</v>
      </c>
      <c r="E33" s="7">
        <v>58.65</v>
      </c>
      <c r="F33" s="7">
        <v>36.700000000000003</v>
      </c>
      <c r="G33" s="7">
        <v>53.03</v>
      </c>
      <c r="H33" s="7">
        <v>37.6</v>
      </c>
      <c r="I33" s="8">
        <f t="shared" si="0"/>
        <v>262.98</v>
      </c>
      <c r="J33" s="7">
        <v>36.5</v>
      </c>
      <c r="K33" s="7">
        <v>19.7</v>
      </c>
      <c r="L33" s="24">
        <v>18.649999999999999</v>
      </c>
      <c r="M33" s="24">
        <v>48.31</v>
      </c>
      <c r="N33" s="9">
        <v>37.9</v>
      </c>
      <c r="O33" s="7">
        <v>39.1</v>
      </c>
    </row>
    <row r="34" spans="1:15" ht="18" x14ac:dyDescent="0.3">
      <c r="A34" s="27">
        <v>31303171802483</v>
      </c>
      <c r="B34" s="10" t="s">
        <v>42</v>
      </c>
      <c r="C34" s="29" t="s">
        <v>92</v>
      </c>
      <c r="D34" s="16">
        <v>77.52</v>
      </c>
      <c r="E34" s="16">
        <v>58.73</v>
      </c>
      <c r="F34" s="16">
        <v>38.9</v>
      </c>
      <c r="G34" s="16">
        <v>55.43</v>
      </c>
      <c r="H34" s="16">
        <v>39.1</v>
      </c>
      <c r="I34" s="16">
        <f t="shared" ref="I34:I56" si="1">H34+G34+F34+E34+D34</f>
        <v>269.68</v>
      </c>
      <c r="J34" s="16">
        <v>38.6</v>
      </c>
      <c r="K34" s="16">
        <v>19.350000000000001</v>
      </c>
      <c r="L34" s="16">
        <v>18.7</v>
      </c>
      <c r="M34" s="16">
        <v>48.61</v>
      </c>
      <c r="N34" s="18">
        <v>36.299999999999997</v>
      </c>
      <c r="O34" s="16">
        <v>36.9</v>
      </c>
    </row>
    <row r="35" spans="1:15" ht="18" x14ac:dyDescent="0.3">
      <c r="A35" s="27">
        <v>31308061805624</v>
      </c>
      <c r="B35" s="10" t="s">
        <v>43</v>
      </c>
      <c r="C35" s="29" t="s">
        <v>93</v>
      </c>
      <c r="D35" s="16">
        <v>76.599999999999994</v>
      </c>
      <c r="E35" s="16">
        <v>59.55</v>
      </c>
      <c r="F35" s="16">
        <v>36.299999999999997</v>
      </c>
      <c r="G35" s="16">
        <v>54.53</v>
      </c>
      <c r="H35" s="16">
        <v>37.4</v>
      </c>
      <c r="I35" s="16">
        <f t="shared" si="1"/>
        <v>264.38</v>
      </c>
      <c r="J35" s="16">
        <v>38.200000000000003</v>
      </c>
      <c r="K35" s="16">
        <v>19.05</v>
      </c>
      <c r="L35" s="16">
        <v>17.399999999999999</v>
      </c>
      <c r="M35" s="16">
        <v>47.7</v>
      </c>
      <c r="N35" s="18">
        <v>39</v>
      </c>
      <c r="O35" s="16">
        <v>39.1</v>
      </c>
    </row>
    <row r="36" spans="1:15" ht="18" x14ac:dyDescent="0.3">
      <c r="A36" s="30">
        <v>31309030200607</v>
      </c>
      <c r="B36" s="10" t="s">
        <v>44</v>
      </c>
      <c r="C36" s="29" t="s">
        <v>94</v>
      </c>
      <c r="D36" s="7">
        <v>76.400000000000006</v>
      </c>
      <c r="E36" s="7">
        <v>56.78</v>
      </c>
      <c r="F36" s="7">
        <v>32.9</v>
      </c>
      <c r="G36" s="7">
        <v>47.55</v>
      </c>
      <c r="H36" s="7">
        <v>34.5</v>
      </c>
      <c r="I36" s="8">
        <f t="shared" si="1"/>
        <v>248.13</v>
      </c>
      <c r="J36" s="7">
        <v>35.299999999999997</v>
      </c>
      <c r="K36" s="7">
        <v>17.600000000000001</v>
      </c>
      <c r="L36" s="7">
        <v>15.95</v>
      </c>
      <c r="M36" s="7">
        <v>44.83</v>
      </c>
      <c r="N36" s="9">
        <v>35</v>
      </c>
      <c r="O36" s="7">
        <v>36.6</v>
      </c>
    </row>
    <row r="37" spans="1:15" ht="18" x14ac:dyDescent="0.3">
      <c r="A37" s="30">
        <v>31308281800062</v>
      </c>
      <c r="B37" s="10" t="s">
        <v>45</v>
      </c>
      <c r="C37" s="29" t="s">
        <v>95</v>
      </c>
      <c r="D37" s="16">
        <v>77.7</v>
      </c>
      <c r="E37" s="16">
        <v>59.25</v>
      </c>
      <c r="F37" s="16">
        <v>36.700000000000003</v>
      </c>
      <c r="G37" s="16">
        <v>56.85</v>
      </c>
      <c r="H37" s="16">
        <v>38.299999999999997</v>
      </c>
      <c r="I37" s="16">
        <f t="shared" si="1"/>
        <v>268.8</v>
      </c>
      <c r="J37" s="16">
        <v>37</v>
      </c>
      <c r="K37" s="16">
        <v>19.399999999999999</v>
      </c>
      <c r="L37" s="16">
        <v>19.100000000000001</v>
      </c>
      <c r="M37" s="16">
        <v>49.81</v>
      </c>
      <c r="N37" s="18">
        <v>38.6</v>
      </c>
      <c r="O37" s="16">
        <v>39.6</v>
      </c>
    </row>
    <row r="38" spans="1:15" ht="18" x14ac:dyDescent="0.3">
      <c r="A38" s="27">
        <v>31205048801209</v>
      </c>
      <c r="B38" s="25" t="s">
        <v>46</v>
      </c>
      <c r="C38" s="29" t="s">
        <v>96</v>
      </c>
      <c r="D38" s="16">
        <v>70.5</v>
      </c>
      <c r="E38" s="16">
        <v>59.4</v>
      </c>
      <c r="F38" s="16">
        <v>35.799999999999997</v>
      </c>
      <c r="G38" s="16">
        <v>54</v>
      </c>
      <c r="H38" s="16">
        <v>37.9</v>
      </c>
      <c r="I38" s="8">
        <f t="shared" si="1"/>
        <v>257.60000000000002</v>
      </c>
      <c r="J38" s="16">
        <v>34.799999999999997</v>
      </c>
      <c r="K38" s="16">
        <v>19.649999999999999</v>
      </c>
      <c r="L38" s="16">
        <v>18.55</v>
      </c>
      <c r="M38" s="16">
        <v>49.55</v>
      </c>
      <c r="N38" s="18">
        <v>37.299999999999997</v>
      </c>
      <c r="O38" s="16">
        <v>36.4</v>
      </c>
    </row>
    <row r="39" spans="1:15" ht="18" x14ac:dyDescent="0.3">
      <c r="A39" s="27">
        <v>31311251802681</v>
      </c>
      <c r="B39" s="25" t="s">
        <v>116</v>
      </c>
      <c r="C39" s="29" t="s">
        <v>97</v>
      </c>
      <c r="D39" s="16"/>
      <c r="E39" s="16"/>
      <c r="F39" s="16"/>
      <c r="G39" s="16"/>
      <c r="H39" s="16"/>
      <c r="I39" s="8"/>
      <c r="J39" s="16"/>
      <c r="K39" s="16"/>
      <c r="L39" s="16"/>
      <c r="M39" s="16"/>
      <c r="N39" s="18"/>
      <c r="O39" s="16"/>
    </row>
    <row r="40" spans="1:15" ht="18" x14ac:dyDescent="0.3">
      <c r="A40" s="27">
        <v>31308211803048</v>
      </c>
      <c r="B40" s="25" t="s">
        <v>47</v>
      </c>
      <c r="C40" s="29" t="s">
        <v>98</v>
      </c>
      <c r="D40" s="16">
        <v>78.400000000000006</v>
      </c>
      <c r="E40" s="16">
        <v>59.7</v>
      </c>
      <c r="F40" s="16">
        <v>39.4</v>
      </c>
      <c r="G40" s="16">
        <v>59.25</v>
      </c>
      <c r="H40" s="16">
        <v>39.9</v>
      </c>
      <c r="I40" s="8">
        <f t="shared" si="1"/>
        <v>276.64999999999998</v>
      </c>
      <c r="J40" s="16">
        <v>36.4</v>
      </c>
      <c r="K40" s="16">
        <v>18.75</v>
      </c>
      <c r="L40" s="16">
        <v>19.100000000000001</v>
      </c>
      <c r="M40" s="16">
        <v>48.04</v>
      </c>
      <c r="N40" s="18">
        <v>38.1</v>
      </c>
      <c r="O40" s="16">
        <v>39.700000000000003</v>
      </c>
    </row>
    <row r="41" spans="1:15" ht="18" x14ac:dyDescent="0.3">
      <c r="A41" s="27">
        <v>31311281805006</v>
      </c>
      <c r="B41" s="25" t="s">
        <v>48</v>
      </c>
      <c r="C41" s="29" t="s">
        <v>99</v>
      </c>
      <c r="D41" s="16">
        <v>75.3</v>
      </c>
      <c r="E41" s="16">
        <v>54.53</v>
      </c>
      <c r="F41" s="16">
        <v>36.4</v>
      </c>
      <c r="G41" s="16">
        <v>52.95</v>
      </c>
      <c r="H41" s="16">
        <v>36.6</v>
      </c>
      <c r="I41" s="8">
        <f t="shared" si="1"/>
        <v>255.78000000000003</v>
      </c>
      <c r="J41" s="16">
        <v>37.299999999999997</v>
      </c>
      <c r="K41" s="16">
        <v>19.899999999999999</v>
      </c>
      <c r="L41" s="16">
        <v>16.899999999999999</v>
      </c>
      <c r="M41" s="16">
        <v>46.11</v>
      </c>
      <c r="N41" s="18">
        <v>37.1</v>
      </c>
      <c r="O41" s="16">
        <v>39</v>
      </c>
    </row>
    <row r="42" spans="1:15" ht="18" x14ac:dyDescent="0.3">
      <c r="A42" s="27">
        <v>31307171804821</v>
      </c>
      <c r="B42" s="25" t="s">
        <v>49</v>
      </c>
      <c r="C42" s="29" t="s">
        <v>100</v>
      </c>
      <c r="D42" s="16">
        <v>76.400000000000006</v>
      </c>
      <c r="E42" s="16">
        <v>54.83</v>
      </c>
      <c r="F42" s="16">
        <v>36.4</v>
      </c>
      <c r="G42" s="16">
        <v>54.08</v>
      </c>
      <c r="H42" s="16">
        <v>35.6</v>
      </c>
      <c r="I42" s="8">
        <f t="shared" si="1"/>
        <v>257.31000000000006</v>
      </c>
      <c r="J42" s="16">
        <v>36.799999999999997</v>
      </c>
      <c r="K42" s="16">
        <v>18.8</v>
      </c>
      <c r="L42" s="16">
        <v>17.899999999999999</v>
      </c>
      <c r="M42" s="16">
        <v>46.86</v>
      </c>
      <c r="N42" s="18">
        <v>37.299999999999997</v>
      </c>
      <c r="O42" s="16">
        <v>40</v>
      </c>
    </row>
    <row r="43" spans="1:15" ht="18" x14ac:dyDescent="0.3">
      <c r="A43" s="27">
        <v>31302031802665</v>
      </c>
      <c r="B43" s="25" t="s">
        <v>116</v>
      </c>
      <c r="C43" s="29" t="s">
        <v>101</v>
      </c>
      <c r="D43" s="16"/>
      <c r="E43" s="16"/>
      <c r="F43" s="16"/>
      <c r="G43" s="16"/>
      <c r="H43" s="16"/>
      <c r="I43" s="8"/>
      <c r="J43" s="16"/>
      <c r="K43" s="16"/>
      <c r="L43" s="16"/>
      <c r="M43" s="16"/>
      <c r="N43" s="18"/>
      <c r="O43" s="16"/>
    </row>
    <row r="44" spans="1:15" ht="18" x14ac:dyDescent="0.3">
      <c r="A44" s="27">
        <v>31308191803704</v>
      </c>
      <c r="B44" s="25" t="s">
        <v>50</v>
      </c>
      <c r="C44" s="29" t="s">
        <v>102</v>
      </c>
      <c r="D44" s="16">
        <v>77.8</v>
      </c>
      <c r="E44" s="16">
        <v>60</v>
      </c>
      <c r="F44" s="16">
        <v>40</v>
      </c>
      <c r="G44" s="16">
        <v>60</v>
      </c>
      <c r="H44" s="16">
        <v>39.6</v>
      </c>
      <c r="I44" s="8">
        <f t="shared" si="1"/>
        <v>277.39999999999998</v>
      </c>
      <c r="J44" s="16">
        <v>37</v>
      </c>
      <c r="K44" s="16">
        <v>18.3</v>
      </c>
      <c r="L44" s="16">
        <v>18.8</v>
      </c>
      <c r="M44" s="16">
        <v>49.7</v>
      </c>
      <c r="N44" s="18">
        <v>39</v>
      </c>
      <c r="O44" s="16">
        <v>40</v>
      </c>
    </row>
    <row r="45" spans="1:15" ht="18" x14ac:dyDescent="0.3">
      <c r="A45" s="27">
        <v>31208251801124</v>
      </c>
      <c r="B45" s="25" t="s">
        <v>116</v>
      </c>
      <c r="C45" s="29" t="s">
        <v>103</v>
      </c>
      <c r="D45" s="16"/>
      <c r="E45" s="16"/>
      <c r="F45" s="16"/>
      <c r="G45" s="16"/>
      <c r="H45" s="16"/>
      <c r="I45" s="8"/>
      <c r="J45" s="16"/>
      <c r="K45" s="16"/>
      <c r="L45" s="16"/>
      <c r="M45" s="16"/>
      <c r="N45" s="18"/>
      <c r="O45" s="16"/>
    </row>
    <row r="46" spans="1:15" ht="18" x14ac:dyDescent="0.3">
      <c r="A46" s="27">
        <v>31311061802529</v>
      </c>
      <c r="B46" s="25" t="s">
        <v>51</v>
      </c>
      <c r="C46" s="29" t="s">
        <v>104</v>
      </c>
      <c r="D46" s="16">
        <v>78</v>
      </c>
      <c r="E46" s="16">
        <v>59.85</v>
      </c>
      <c r="F46" s="16">
        <v>37.1</v>
      </c>
      <c r="G46" s="16">
        <v>58.88</v>
      </c>
      <c r="H46" s="16">
        <v>39</v>
      </c>
      <c r="I46" s="8">
        <f t="shared" si="1"/>
        <v>272.83</v>
      </c>
      <c r="J46" s="16">
        <v>37.200000000000003</v>
      </c>
      <c r="K46" s="16">
        <v>19.100000000000001</v>
      </c>
      <c r="L46" s="16">
        <v>18.649999999999999</v>
      </c>
      <c r="M46" s="16">
        <v>49.35</v>
      </c>
      <c r="N46" s="18">
        <v>39.799999999999997</v>
      </c>
      <c r="O46" s="16">
        <v>39.9</v>
      </c>
    </row>
    <row r="47" spans="1:15" ht="18" x14ac:dyDescent="0.3">
      <c r="A47" s="27">
        <v>31303281804384</v>
      </c>
      <c r="B47" s="25" t="s">
        <v>116</v>
      </c>
      <c r="C47" s="29" t="s">
        <v>105</v>
      </c>
      <c r="D47" s="16"/>
      <c r="E47" s="16"/>
      <c r="F47" s="16"/>
      <c r="G47" s="16"/>
      <c r="H47" s="16"/>
      <c r="I47" s="8"/>
      <c r="J47" s="16"/>
      <c r="K47" s="16"/>
      <c r="L47" s="16"/>
      <c r="M47" s="16"/>
      <c r="N47" s="18"/>
      <c r="O47" s="16"/>
    </row>
    <row r="48" spans="1:15" ht="18" x14ac:dyDescent="0.3">
      <c r="A48" s="27">
        <v>31402058801126</v>
      </c>
      <c r="B48" s="25" t="s">
        <v>52</v>
      </c>
      <c r="C48" s="29" t="s">
        <v>106</v>
      </c>
      <c r="D48" s="16">
        <v>79.8</v>
      </c>
      <c r="E48" s="16">
        <v>59.4</v>
      </c>
      <c r="F48" s="16">
        <v>39.299999999999997</v>
      </c>
      <c r="G48" s="16">
        <v>59.33</v>
      </c>
      <c r="H48" s="16">
        <v>39.700000000000003</v>
      </c>
      <c r="I48" s="8">
        <f t="shared" si="1"/>
        <v>277.52999999999997</v>
      </c>
      <c r="J48" s="16">
        <v>36.5</v>
      </c>
      <c r="K48" s="16">
        <v>18.399999999999999</v>
      </c>
      <c r="L48" s="16">
        <v>17.649999999999999</v>
      </c>
      <c r="M48" s="16">
        <v>48.8</v>
      </c>
      <c r="N48" s="18">
        <v>38.4</v>
      </c>
      <c r="O48" s="16">
        <v>38.200000000000003</v>
      </c>
    </row>
    <row r="49" spans="1:15" ht="18" x14ac:dyDescent="0.3">
      <c r="A49" s="27">
        <v>31301141800181</v>
      </c>
      <c r="B49" s="25" t="s">
        <v>53</v>
      </c>
      <c r="C49" s="29" t="s">
        <v>107</v>
      </c>
      <c r="D49" s="16">
        <v>77.599999999999994</v>
      </c>
      <c r="E49" s="16">
        <v>58.2</v>
      </c>
      <c r="F49" s="16">
        <v>38.4</v>
      </c>
      <c r="G49" s="16">
        <v>58.28</v>
      </c>
      <c r="H49" s="16">
        <v>38.4</v>
      </c>
      <c r="I49" s="8">
        <f t="shared" si="1"/>
        <v>270.88</v>
      </c>
      <c r="J49" s="16">
        <v>37.64</v>
      </c>
      <c r="K49" s="16">
        <v>19.2</v>
      </c>
      <c r="L49" s="16">
        <v>18.55</v>
      </c>
      <c r="M49" s="16">
        <v>48.49</v>
      </c>
      <c r="N49" s="18">
        <v>38.799999999999997</v>
      </c>
      <c r="O49" s="16">
        <v>39.9</v>
      </c>
    </row>
    <row r="50" spans="1:15" ht="18" x14ac:dyDescent="0.3">
      <c r="A50" s="27">
        <v>31306301802064</v>
      </c>
      <c r="B50" s="25" t="s">
        <v>54</v>
      </c>
      <c r="C50" s="29" t="s">
        <v>108</v>
      </c>
      <c r="D50" s="16">
        <v>77.099999999999994</v>
      </c>
      <c r="E50" s="16">
        <v>59.7</v>
      </c>
      <c r="F50" s="16">
        <v>37.299999999999997</v>
      </c>
      <c r="G50" s="16">
        <v>56.7</v>
      </c>
      <c r="H50" s="16">
        <v>38.4</v>
      </c>
      <c r="I50" s="8">
        <f t="shared" si="1"/>
        <v>269.19999999999993</v>
      </c>
      <c r="J50" s="16">
        <v>36.4</v>
      </c>
      <c r="K50" s="16">
        <v>19.399999999999999</v>
      </c>
      <c r="L50" s="16">
        <v>18.850000000000001</v>
      </c>
      <c r="M50" s="16">
        <v>48.89</v>
      </c>
      <c r="N50" s="18">
        <v>37.5</v>
      </c>
      <c r="O50" s="16">
        <v>39.4</v>
      </c>
    </row>
    <row r="51" spans="1:15" ht="18" x14ac:dyDescent="0.3">
      <c r="A51" s="27">
        <v>31309090200665</v>
      </c>
      <c r="B51" s="25" t="s">
        <v>55</v>
      </c>
      <c r="C51" s="29" t="s">
        <v>109</v>
      </c>
      <c r="D51" s="16">
        <v>77.599999999999994</v>
      </c>
      <c r="E51" s="16">
        <v>57.23</v>
      </c>
      <c r="F51" s="16">
        <v>38.200000000000003</v>
      </c>
      <c r="G51" s="16">
        <v>53.42</v>
      </c>
      <c r="H51" s="16">
        <v>39.1</v>
      </c>
      <c r="I51" s="8">
        <f t="shared" si="1"/>
        <v>265.55</v>
      </c>
      <c r="J51" s="16">
        <v>37.6</v>
      </c>
      <c r="K51" s="16">
        <v>19</v>
      </c>
      <c r="L51" s="16">
        <v>18</v>
      </c>
      <c r="M51" s="16">
        <v>47.2</v>
      </c>
      <c r="N51" s="18">
        <v>38.200000000000003</v>
      </c>
      <c r="O51" s="16">
        <v>39</v>
      </c>
    </row>
    <row r="52" spans="1:15" ht="18" x14ac:dyDescent="0.3">
      <c r="A52" s="27">
        <v>31308181805407</v>
      </c>
      <c r="B52" s="25" t="s">
        <v>116</v>
      </c>
      <c r="C52" s="29" t="s">
        <v>110</v>
      </c>
      <c r="D52" s="16"/>
      <c r="E52" s="16"/>
      <c r="F52" s="16"/>
      <c r="G52" s="16"/>
      <c r="H52" s="16"/>
      <c r="I52" s="8"/>
      <c r="J52" s="16"/>
      <c r="K52" s="16"/>
      <c r="L52" s="16"/>
      <c r="M52" s="16"/>
      <c r="N52" s="18"/>
      <c r="O52" s="16"/>
    </row>
    <row r="53" spans="1:15" ht="18" x14ac:dyDescent="0.3">
      <c r="A53" s="27">
        <v>31303130200266</v>
      </c>
      <c r="B53" s="25" t="s">
        <v>56</v>
      </c>
      <c r="C53" s="29" t="s">
        <v>111</v>
      </c>
      <c r="D53" s="16">
        <v>77.8</v>
      </c>
      <c r="E53" s="16">
        <v>59.4</v>
      </c>
      <c r="F53" s="16">
        <v>38.9</v>
      </c>
      <c r="G53" s="16">
        <v>60</v>
      </c>
      <c r="H53" s="16">
        <v>40</v>
      </c>
      <c r="I53" s="8">
        <f t="shared" si="1"/>
        <v>276.10000000000002</v>
      </c>
      <c r="J53" s="16">
        <v>37.799999999999997</v>
      </c>
      <c r="K53" s="16">
        <v>19.100000000000001</v>
      </c>
      <c r="L53" s="16">
        <v>18.7</v>
      </c>
      <c r="M53" s="16">
        <v>48.91</v>
      </c>
      <c r="N53" s="18">
        <v>38.799999999999997</v>
      </c>
      <c r="O53" s="16">
        <v>39.9</v>
      </c>
    </row>
    <row r="54" spans="1:15" ht="18" x14ac:dyDescent="0.3">
      <c r="A54" s="27">
        <v>31307291800765</v>
      </c>
      <c r="B54" s="25" t="s">
        <v>57</v>
      </c>
      <c r="C54" s="29" t="s">
        <v>112</v>
      </c>
      <c r="D54" s="16">
        <v>77.599999999999994</v>
      </c>
      <c r="E54" s="16">
        <v>55.65</v>
      </c>
      <c r="F54" s="16">
        <v>37</v>
      </c>
      <c r="G54" s="16">
        <v>57.6</v>
      </c>
      <c r="H54" s="16">
        <v>37.700000000000003</v>
      </c>
      <c r="I54" s="8">
        <f t="shared" si="1"/>
        <v>265.55</v>
      </c>
      <c r="J54" s="16">
        <v>38.799999999999997</v>
      </c>
      <c r="K54" s="16">
        <v>18</v>
      </c>
      <c r="L54" s="16">
        <v>18.649999999999999</v>
      </c>
      <c r="M54" s="16">
        <v>47.31</v>
      </c>
      <c r="N54" s="18">
        <v>37.700000000000003</v>
      </c>
      <c r="O54" s="16">
        <v>36.700000000000003</v>
      </c>
    </row>
    <row r="55" spans="1:15" ht="18" x14ac:dyDescent="0.3">
      <c r="A55" s="27">
        <v>31301011801321</v>
      </c>
      <c r="B55" s="25" t="s">
        <v>58</v>
      </c>
      <c r="C55" s="29" t="s">
        <v>113</v>
      </c>
      <c r="D55" s="16">
        <v>78.7</v>
      </c>
      <c r="E55" s="16">
        <v>59.33</v>
      </c>
      <c r="F55" s="16">
        <v>38.200000000000003</v>
      </c>
      <c r="G55" s="16">
        <v>52.65</v>
      </c>
      <c r="H55" s="16">
        <v>37.299999999999997</v>
      </c>
      <c r="I55" s="8">
        <f t="shared" si="1"/>
        <v>266.17999999999995</v>
      </c>
      <c r="J55" s="16">
        <v>38</v>
      </c>
      <c r="K55" s="16">
        <v>18.25</v>
      </c>
      <c r="L55" s="16">
        <v>18</v>
      </c>
      <c r="M55" s="16">
        <v>48.54</v>
      </c>
      <c r="N55" s="18">
        <v>37.4</v>
      </c>
      <c r="O55" s="16">
        <v>39.4</v>
      </c>
    </row>
    <row r="56" spans="1:15" ht="18" x14ac:dyDescent="0.3">
      <c r="A56" s="27">
        <v>31301011801585</v>
      </c>
      <c r="B56" s="10" t="s">
        <v>59</v>
      </c>
      <c r="C56" s="29" t="s">
        <v>114</v>
      </c>
      <c r="D56" s="16">
        <v>73.599999999999994</v>
      </c>
      <c r="E56" s="16">
        <v>58.58</v>
      </c>
      <c r="F56" s="16">
        <v>35.9</v>
      </c>
      <c r="G56" s="16">
        <v>47.85</v>
      </c>
      <c r="H56" s="16">
        <v>38.4</v>
      </c>
      <c r="I56" s="8">
        <f t="shared" si="1"/>
        <v>254.33</v>
      </c>
      <c r="J56" s="16">
        <v>32.4</v>
      </c>
      <c r="K56" s="16">
        <v>19.100000000000001</v>
      </c>
      <c r="L56" s="16">
        <v>17.850000000000001</v>
      </c>
      <c r="M56" s="16">
        <v>48.48</v>
      </c>
      <c r="N56" s="18">
        <v>37</v>
      </c>
      <c r="O56" s="16">
        <v>39.6</v>
      </c>
    </row>
  </sheetData>
  <conditionalFormatting sqref="A56 A30">
    <cfRule type="duplicateValues" dxfId="19" priority="2"/>
  </conditionalFormatting>
  <conditionalFormatting sqref="B1:B1048576">
    <cfRule type="containsText" dxfId="18" priority="1" operator="containsText" text="برجاء مراجعة الحسابات">
      <formula>NOT(ISERROR(SEARCH("برجاء مراجعة الحسابات",B1)))</formula>
    </cfRule>
  </conditionalFormatting>
  <conditionalFormatting sqref="A12:A29 A31:A55">
    <cfRule type="duplicateValues" dxfId="17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DownTown</cp:lastModifiedBy>
  <dcterms:created xsi:type="dcterms:W3CDTF">2026-06-02T18:39:58Z</dcterms:created>
  <dcterms:modified xsi:type="dcterms:W3CDTF">2026-06-06T21:38:15Z</dcterms:modified>
</cp:coreProperties>
</file>